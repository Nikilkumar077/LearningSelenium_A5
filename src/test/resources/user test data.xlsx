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66B1C02C59C0A1/Documents/"/>
    </mc:Choice>
  </mc:AlternateContent>
  <xr:revisionPtr revIDLastSave="114" documentId="8_{EA23DBA2-F743-497B-9C06-9044DF11E9D9}" xr6:coauthVersionLast="47" xr6:coauthVersionMax="47" xr10:uidLastSave="{067F59FD-A7CD-4583-AB9F-C60CF949D180}"/>
  <bookViews>
    <workbookView xWindow="-108" yWindow="-108" windowWidth="23256" windowHeight="12456" xr2:uid="{D6A4B438-1E07-4B24-B37F-44278A50D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N2" i="1"/>
  <c r="L3" i="1"/>
  <c r="N3" i="1"/>
  <c r="L4" i="1"/>
  <c r="N4" i="1"/>
  <c r="L5" i="1"/>
  <c r="N5" i="1"/>
  <c r="L6" i="1"/>
  <c r="N6" i="1"/>
  <c r="L7" i="1"/>
  <c r="N7" i="1"/>
  <c r="L8" i="1"/>
  <c r="N8" i="1"/>
  <c r="L9" i="1"/>
  <c r="N9" i="1"/>
  <c r="L10" i="1"/>
  <c r="N10" i="1"/>
  <c r="L11" i="1"/>
  <c r="N11" i="1"/>
</calcChain>
</file>

<file path=xl/sharedStrings.xml><?xml version="1.0" encoding="utf-8"?>
<sst xmlns="http://schemas.openxmlformats.org/spreadsheetml/2006/main" count="170" uniqueCount="124">
  <si>
    <t>Website</t>
  </si>
  <si>
    <t>Ticker Symbol</t>
  </si>
  <si>
    <t>Member of</t>
  </si>
  <si>
    <t>Employees</t>
  </si>
  <si>
    <t>Industry</t>
  </si>
  <si>
    <t>Phone</t>
  </si>
  <si>
    <t>Ownership</t>
  </si>
  <si>
    <t>SIC</t>
  </si>
  <si>
    <t>Org Name</t>
  </si>
  <si>
    <t>Other Email</t>
  </si>
  <si>
    <t>Type</t>
  </si>
  <si>
    <t>Email Opt Out</t>
  </si>
  <si>
    <t>Assigned To</t>
  </si>
  <si>
    <t>Org Num</t>
  </si>
  <si>
    <t>Tax</t>
  </si>
  <si>
    <t>Other Phone</t>
  </si>
  <si>
    <t>Email</t>
  </si>
  <si>
    <t>Rating</t>
  </si>
  <si>
    <t>Annual Rev</t>
  </si>
  <si>
    <t>Notify Owner</t>
  </si>
  <si>
    <t>TechNova Solutions</t>
  </si>
  <si>
    <t>www.technova.com</t>
  </si>
  <si>
    <t>TNVS</t>
  </si>
  <si>
    <t>Tech Alliance</t>
  </si>
  <si>
    <t>info@technova.com</t>
  </si>
  <si>
    <t>Software</t>
  </si>
  <si>
    <t>Customer</t>
  </si>
  <si>
    <t>No</t>
  </si>
  <si>
    <t>Admin</t>
  </si>
  <si>
    <t>ORG001</t>
  </si>
  <si>
    <t>GST12345</t>
  </si>
  <si>
    <t>contact@technova.com</t>
  </si>
  <si>
    <t>Private</t>
  </si>
  <si>
    <t>Active</t>
  </si>
  <si>
    <t>Yes</t>
  </si>
  <si>
    <t>GreenLeaf Agro</t>
  </si>
  <si>
    <t>www.greenleafagro.com</t>
  </si>
  <si>
    <t>GLAF</t>
  </si>
  <si>
    <t>Agriculture Group</t>
  </si>
  <si>
    <t>support@greenleafagro.com</t>
  </si>
  <si>
    <t>Agriculture</t>
  </si>
  <si>
    <t>Partner</t>
  </si>
  <si>
    <t>ORG002</t>
  </si>
  <si>
    <t>GST12346</t>
  </si>
  <si>
    <t>sales@greenleafagro.com</t>
  </si>
  <si>
    <t>SkyNet Technologies</t>
  </si>
  <si>
    <t>www.skynettech.com</t>
  </si>
  <si>
    <t>SKYT</t>
  </si>
  <si>
    <t>Innovation Hub</t>
  </si>
  <si>
    <t>hr@skynettech.com</t>
  </si>
  <si>
    <t>IT Services</t>
  </si>
  <si>
    <t>ORG003</t>
  </si>
  <si>
    <t>GST12347</t>
  </si>
  <si>
    <t>info@skynettech.com</t>
  </si>
  <si>
    <t>Public</t>
  </si>
  <si>
    <t>Hot</t>
  </si>
  <si>
    <t>Alpha Manufacturing</t>
  </si>
  <si>
    <t>www.alphamfg.com</t>
  </si>
  <si>
    <t>ALPM</t>
  </si>
  <si>
    <t>Manufacturing Assoc</t>
  </si>
  <si>
    <t>admin@alphamfg.com</t>
  </si>
  <si>
    <t>Manufacturing</t>
  </si>
  <si>
    <t>Vendor</t>
  </si>
  <si>
    <t>ORG004</t>
  </si>
  <si>
    <t>GST12348</t>
  </si>
  <si>
    <t>sales@alphamfg.com</t>
  </si>
  <si>
    <t>Warm</t>
  </si>
  <si>
    <t>Bright Healthcare</t>
  </si>
  <si>
    <t>www.brighthealth.com</t>
  </si>
  <si>
    <t>BHC</t>
  </si>
  <si>
    <t>Health Network</t>
  </si>
  <si>
    <t>contact@brighthealth.com</t>
  </si>
  <si>
    <t>Healthcare</t>
  </si>
  <si>
    <t>ORG005</t>
  </si>
  <si>
    <t>GST12349</t>
  </si>
  <si>
    <t>support@brighthealth.com</t>
  </si>
  <si>
    <t>Ocean Logistics</t>
  </si>
  <si>
    <t>www.oceanlogistics.com</t>
  </si>
  <si>
    <t>OCLG</t>
  </si>
  <si>
    <t>Logistics Forum</t>
  </si>
  <si>
    <t>logistics@oceanlogistics.com</t>
  </si>
  <si>
    <t>Logistics</t>
  </si>
  <si>
    <t>ORG006</t>
  </si>
  <si>
    <t>GST12350</t>
  </si>
  <si>
    <t>info@oceanlogistics.com</t>
  </si>
  <si>
    <t>Cold</t>
  </si>
  <si>
    <t>EduSmart Academy</t>
  </si>
  <si>
    <t>www.edusmart.edu</t>
  </si>
  <si>
    <t>EDSM</t>
  </si>
  <si>
    <t>Education Council</t>
  </si>
  <si>
    <t>admissions@edusmart.edu</t>
  </si>
  <si>
    <t>Education</t>
  </si>
  <si>
    <t>ORG007</t>
  </si>
  <si>
    <t>GST12351</t>
  </si>
  <si>
    <t>office@edusmart.edu</t>
  </si>
  <si>
    <t>Trust</t>
  </si>
  <si>
    <t>FinEdge Consultants</t>
  </si>
  <si>
    <t>www.finedge.com</t>
  </si>
  <si>
    <t>FINE</t>
  </si>
  <si>
    <t>Finance Group</t>
  </si>
  <si>
    <t>finance@finedge.com</t>
  </si>
  <si>
    <t>Financial Services</t>
  </si>
  <si>
    <t>Prospect</t>
  </si>
  <si>
    <t>ORG008</t>
  </si>
  <si>
    <t>GST12352</t>
  </si>
  <si>
    <t>contact@finedge.com</t>
  </si>
  <si>
    <t>Zenith Retail</t>
  </si>
  <si>
    <t>www.zenithretail.com</t>
  </si>
  <si>
    <t>ZRTL</t>
  </si>
  <si>
    <t>Retail Assoc</t>
  </si>
  <si>
    <t>retail@zenithretail.com</t>
  </si>
  <si>
    <t>Retail</t>
  </si>
  <si>
    <t>ORG009</t>
  </si>
  <si>
    <t>GST12353</t>
  </si>
  <si>
    <t>support@zenithretail.com</t>
  </si>
  <si>
    <t>Nexa Energy</t>
  </si>
  <si>
    <t>www.nexaenergy.com</t>
  </si>
  <si>
    <t>NXEG</t>
  </si>
  <si>
    <t>Energy Council</t>
  </si>
  <si>
    <t>admin@nexaenergy.com</t>
  </si>
  <si>
    <t>Energy</t>
  </si>
  <si>
    <t>ORG010</t>
  </si>
  <si>
    <t>GST12354</t>
  </si>
  <si>
    <t>info@nexaenergy.com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</si>
</sst>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r@skynettech.com" TargetMode="External"/><Relationship Id="rId13" Type="http://schemas.openxmlformats.org/officeDocument/2006/relationships/hyperlink" Target="http://www.brighthealth.com/" TargetMode="External"/><Relationship Id="rId18" Type="http://schemas.openxmlformats.org/officeDocument/2006/relationships/hyperlink" Target="mailto:info@oceanlogistics.com" TargetMode="External"/><Relationship Id="rId26" Type="http://schemas.openxmlformats.org/officeDocument/2006/relationships/hyperlink" Target="mailto:retail@zenithretail.com" TargetMode="External"/><Relationship Id="rId3" Type="http://schemas.openxmlformats.org/officeDocument/2006/relationships/hyperlink" Target="mailto:contact@technova.com" TargetMode="External"/><Relationship Id="rId21" Type="http://schemas.openxmlformats.org/officeDocument/2006/relationships/hyperlink" Target="mailto:office@edusmart.edu" TargetMode="External"/><Relationship Id="rId7" Type="http://schemas.openxmlformats.org/officeDocument/2006/relationships/hyperlink" Target="http://www.skynettech.com/" TargetMode="External"/><Relationship Id="rId12" Type="http://schemas.openxmlformats.org/officeDocument/2006/relationships/hyperlink" Target="mailto:sales@alphamfg.com" TargetMode="External"/><Relationship Id="rId17" Type="http://schemas.openxmlformats.org/officeDocument/2006/relationships/hyperlink" Target="mailto:logistics@oceanlogistics.com" TargetMode="External"/><Relationship Id="rId25" Type="http://schemas.openxmlformats.org/officeDocument/2006/relationships/hyperlink" Target="http://www.zenithretail.com/" TargetMode="External"/><Relationship Id="rId2" Type="http://schemas.openxmlformats.org/officeDocument/2006/relationships/hyperlink" Target="mailto:info@technova.com" TargetMode="External"/><Relationship Id="rId16" Type="http://schemas.openxmlformats.org/officeDocument/2006/relationships/hyperlink" Target="http://www.oceanlogistics.com/" TargetMode="External"/><Relationship Id="rId20" Type="http://schemas.openxmlformats.org/officeDocument/2006/relationships/hyperlink" Target="mailto:admissions@edusmart.edu" TargetMode="External"/><Relationship Id="rId29" Type="http://schemas.openxmlformats.org/officeDocument/2006/relationships/hyperlink" Target="mailto:admin@nexaenergy.com" TargetMode="External"/><Relationship Id="rId1" Type="http://schemas.openxmlformats.org/officeDocument/2006/relationships/hyperlink" Target="http://www.technova.com/" TargetMode="External"/><Relationship Id="rId6" Type="http://schemas.openxmlformats.org/officeDocument/2006/relationships/hyperlink" Target="mailto:sales@greenleafagro.com" TargetMode="External"/><Relationship Id="rId11" Type="http://schemas.openxmlformats.org/officeDocument/2006/relationships/hyperlink" Target="mailto:admin@alphamfg.com" TargetMode="External"/><Relationship Id="rId24" Type="http://schemas.openxmlformats.org/officeDocument/2006/relationships/hyperlink" Target="mailto:contact@finedge.com" TargetMode="External"/><Relationship Id="rId5" Type="http://schemas.openxmlformats.org/officeDocument/2006/relationships/hyperlink" Target="mailto:support@greenleafagro.com" TargetMode="External"/><Relationship Id="rId15" Type="http://schemas.openxmlformats.org/officeDocument/2006/relationships/hyperlink" Target="mailto:support@brighthealth.com" TargetMode="External"/><Relationship Id="rId23" Type="http://schemas.openxmlformats.org/officeDocument/2006/relationships/hyperlink" Target="mailto:finance@finedge.com" TargetMode="External"/><Relationship Id="rId28" Type="http://schemas.openxmlformats.org/officeDocument/2006/relationships/hyperlink" Target="http://www.nexaenergy.com/" TargetMode="External"/><Relationship Id="rId10" Type="http://schemas.openxmlformats.org/officeDocument/2006/relationships/hyperlink" Target="http://www.alphamfg.com/" TargetMode="External"/><Relationship Id="rId19" Type="http://schemas.openxmlformats.org/officeDocument/2006/relationships/hyperlink" Target="http://www.edusmart.edu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://www.greenleafagro.com/" TargetMode="External"/><Relationship Id="rId9" Type="http://schemas.openxmlformats.org/officeDocument/2006/relationships/hyperlink" Target="mailto:info@skynettech.com" TargetMode="External"/><Relationship Id="rId14" Type="http://schemas.openxmlformats.org/officeDocument/2006/relationships/hyperlink" Target="mailto:contact@brighthealth.com" TargetMode="External"/><Relationship Id="rId22" Type="http://schemas.openxmlformats.org/officeDocument/2006/relationships/hyperlink" Target="http://www.finedge.com/" TargetMode="External"/><Relationship Id="rId27" Type="http://schemas.openxmlformats.org/officeDocument/2006/relationships/hyperlink" Target="mailto:support@zenithretail.com" TargetMode="External"/><Relationship Id="rId30" Type="http://schemas.openxmlformats.org/officeDocument/2006/relationships/hyperlink" Target="mailto:info@nexaener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B3EC-F701-411E-A211-5A504410B705}">
  <dimension ref="A1:T11"/>
  <sheetViews>
    <sheetView tabSelected="1" workbookViewId="0">
      <selection activeCell="B6" sqref="B6"/>
    </sheetView>
  </sheetViews>
  <sheetFormatPr defaultRowHeight="14.4" x14ac:dyDescent="0.3"/>
  <cols>
    <col min="1" max="1" width="20.88671875" customWidth="1"/>
    <col min="2" max="2" width="25.5546875" style="7" customWidth="1"/>
    <col min="3" max="3" width="14.44140625" style="7" customWidth="1"/>
    <col min="4" max="4" width="25.33203125" style="7" customWidth="1"/>
    <col min="5" max="5" width="15.109375" style="7" customWidth="1"/>
    <col min="6" max="6" width="29.6640625" customWidth="1"/>
    <col min="7" max="7" width="16.77734375" style="7" customWidth="1"/>
    <col min="8" max="8" width="14.33203125" style="7" customWidth="1"/>
    <col min="9" max="9" width="17.21875" style="7" customWidth="1"/>
    <col min="10" max="10" width="17.5546875" style="7" customWidth="1"/>
    <col min="11" max="11" width="18" style="7" customWidth="1"/>
    <col min="12" max="12" width="21.21875" style="7" customWidth="1"/>
    <col min="13" max="13" width="19" style="7" customWidth="1"/>
    <col min="14" max="14" width="22" style="7" customWidth="1"/>
    <col min="15" max="15" width="28.5546875" style="7" customWidth="1"/>
    <col min="16" max="16" width="19.21875" style="7" customWidth="1"/>
    <col min="17" max="17" width="17.44140625" style="7" customWidth="1"/>
    <col min="18" max="18" width="17" style="7" customWidth="1"/>
    <col min="19" max="19" width="20.77734375" style="7" customWidth="1"/>
    <col min="20" max="20" width="20" style="7" customWidth="1"/>
  </cols>
  <sheetData>
    <row r="1" spans="1:20" s="5" customFormat="1" x14ac:dyDescent="0.3">
      <c r="A1" s="6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9</v>
      </c>
      <c r="G1" s="4" t="s">
        <v>4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5</v>
      </c>
      <c r="M1" s="4" t="s">
        <v>14</v>
      </c>
      <c r="N1" s="4" t="s">
        <v>15</v>
      </c>
      <c r="O1" s="4" t="s">
        <v>16</v>
      </c>
      <c r="P1" s="4" t="s">
        <v>6</v>
      </c>
      <c r="Q1" s="4" t="s">
        <v>17</v>
      </c>
      <c r="R1" s="4" t="s">
        <v>7</v>
      </c>
      <c r="S1" s="4" t="s">
        <v>18</v>
      </c>
      <c r="T1" s="4" t="s">
        <v>19</v>
      </c>
    </row>
    <row r="2" spans="1:20" x14ac:dyDescent="0.3">
      <c r="A2" s="2" t="s">
        <v>20</v>
      </c>
      <c r="B2" s="8" t="s">
        <v>21</v>
      </c>
      <c r="C2" s="1" t="s">
        <v>22</v>
      </c>
      <c r="D2" s="1" t="s">
        <v>23</v>
      </c>
      <c r="E2" s="1">
        <v>250</v>
      </c>
      <c r="F2" s="3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>
        <f>91-9876543210</f>
        <v>-9876543119</v>
      </c>
      <c r="M2" s="1" t="s">
        <v>30</v>
      </c>
      <c r="N2" s="1">
        <f>91-9123456780</f>
        <v>-9123456689</v>
      </c>
      <c r="O2" s="8" t="s">
        <v>31</v>
      </c>
      <c r="P2" s="1" t="s">
        <v>32</v>
      </c>
      <c r="Q2" s="1" t="s">
        <v>33</v>
      </c>
      <c r="R2" s="1">
        <v>7372</v>
      </c>
      <c r="S2" s="1">
        <v>5000000</v>
      </c>
      <c r="T2" s="1" t="s">
        <v>34</v>
      </c>
    </row>
    <row r="3" spans="1:20" x14ac:dyDescent="0.3">
      <c r="A3" s="2" t="s">
        <v>35</v>
      </c>
      <c r="B3" s="8" t="s">
        <v>36</v>
      </c>
      <c r="C3" s="1" t="s">
        <v>37</v>
      </c>
      <c r="D3" s="1" t="s">
        <v>38</v>
      </c>
      <c r="E3" s="1">
        <v>180</v>
      </c>
      <c r="F3" s="3" t="s">
        <v>39</v>
      </c>
      <c r="G3" s="1" t="s">
        <v>40</v>
      </c>
      <c r="H3" s="1" t="s">
        <v>41</v>
      </c>
      <c r="I3" s="1" t="s">
        <v>27</v>
      </c>
      <c r="J3" s="1" t="s">
        <v>28</v>
      </c>
      <c r="K3" s="1" t="s">
        <v>42</v>
      </c>
      <c r="L3" s="1">
        <f>91-9876543211</f>
        <v>-9876543120</v>
      </c>
      <c r="M3" s="1" t="s">
        <v>43</v>
      </c>
      <c r="N3" s="1">
        <f>91-9123456781</f>
        <v>-9123456690</v>
      </c>
      <c r="O3" s="8" t="s">
        <v>44</v>
      </c>
      <c r="P3" s="1" t="s">
        <v>32</v>
      </c>
      <c r="Q3" s="1" t="s">
        <v>33</v>
      </c>
      <c r="R3" s="1">
        <v>191</v>
      </c>
      <c r="S3" s="1">
        <v>3200000</v>
      </c>
      <c r="T3" s="1" t="s">
        <v>34</v>
      </c>
    </row>
    <row r="4" spans="1:20" x14ac:dyDescent="0.3">
      <c r="A4" s="2" t="s">
        <v>45</v>
      </c>
      <c r="B4" s="8" t="s">
        <v>46</v>
      </c>
      <c r="C4" s="1" t="s">
        <v>47</v>
      </c>
      <c r="D4" s="1" t="s">
        <v>48</v>
      </c>
      <c r="E4" s="1">
        <v>400</v>
      </c>
      <c r="F4" s="3" t="s">
        <v>49</v>
      </c>
      <c r="G4" s="1" t="s">
        <v>50</v>
      </c>
      <c r="H4" s="1" t="s">
        <v>26</v>
      </c>
      <c r="I4" s="1" t="s">
        <v>34</v>
      </c>
      <c r="J4" s="1" t="s">
        <v>28</v>
      </c>
      <c r="K4" s="1" t="s">
        <v>51</v>
      </c>
      <c r="L4" s="1">
        <f>91-9876543212</f>
        <v>-9876543121</v>
      </c>
      <c r="M4" s="1" t="s">
        <v>52</v>
      </c>
      <c r="N4" s="1">
        <f>91-9123456782</f>
        <v>-9123456691</v>
      </c>
      <c r="O4" s="8" t="s">
        <v>53</v>
      </c>
      <c r="P4" s="1" t="s">
        <v>54</v>
      </c>
      <c r="Q4" s="1" t="s">
        <v>55</v>
      </c>
      <c r="R4" s="1">
        <v>7373</v>
      </c>
      <c r="S4" s="1">
        <v>12000000</v>
      </c>
      <c r="T4" s="1" t="s">
        <v>27</v>
      </c>
    </row>
    <row r="5" spans="1:20" x14ac:dyDescent="0.3">
      <c r="A5" s="2" t="s">
        <v>56</v>
      </c>
      <c r="B5" s="8" t="s">
        <v>57</v>
      </c>
      <c r="C5" s="1" t="s">
        <v>58</v>
      </c>
      <c r="D5" s="1" t="s">
        <v>59</v>
      </c>
      <c r="E5" s="1">
        <v>600</v>
      </c>
      <c r="F5" s="3" t="s">
        <v>60</v>
      </c>
      <c r="G5" s="1" t="s">
        <v>61</v>
      </c>
      <c r="H5" s="1" t="s">
        <v>62</v>
      </c>
      <c r="I5" s="1" t="s">
        <v>27</v>
      </c>
      <c r="J5" s="1" t="s">
        <v>28</v>
      </c>
      <c r="K5" s="1" t="s">
        <v>63</v>
      </c>
      <c r="L5" s="1">
        <f>91-9876543213</f>
        <v>-9876543122</v>
      </c>
      <c r="M5" s="1" t="s">
        <v>64</v>
      </c>
      <c r="N5" s="1">
        <f>91-9123456783</f>
        <v>-9123456692</v>
      </c>
      <c r="O5" s="8" t="s">
        <v>65</v>
      </c>
      <c r="P5" s="1" t="s">
        <v>32</v>
      </c>
      <c r="Q5" s="1" t="s">
        <v>66</v>
      </c>
      <c r="R5" s="1">
        <v>3599</v>
      </c>
      <c r="S5" s="1">
        <v>25000000</v>
      </c>
      <c r="T5" s="1" t="s">
        <v>34</v>
      </c>
    </row>
    <row r="6" spans="1:20" x14ac:dyDescent="0.3">
      <c r="A6" s="2" t="s">
        <v>67</v>
      </c>
      <c r="B6" s="8" t="s">
        <v>68</v>
      </c>
      <c r="C6" s="1" t="s">
        <v>69</v>
      </c>
      <c r="D6" s="1" t="s">
        <v>70</v>
      </c>
      <c r="E6" s="1">
        <v>350</v>
      </c>
      <c r="F6" s="3" t="s">
        <v>71</v>
      </c>
      <c r="G6" s="1" t="s">
        <v>72</v>
      </c>
      <c r="H6" s="1" t="s">
        <v>26</v>
      </c>
      <c r="I6" s="1" t="s">
        <v>27</v>
      </c>
      <c r="J6" s="1" t="s">
        <v>28</v>
      </c>
      <c r="K6" s="1" t="s">
        <v>73</v>
      </c>
      <c r="L6" s="1">
        <f>91-9876543214</f>
        <v>-9876543123</v>
      </c>
      <c r="M6" s="1" t="s">
        <v>74</v>
      </c>
      <c r="N6" s="1">
        <f>91-9123456784</f>
        <v>-9123456693</v>
      </c>
      <c r="O6" s="8" t="s">
        <v>75</v>
      </c>
      <c r="P6" s="1" t="s">
        <v>32</v>
      </c>
      <c r="Q6" s="1" t="s">
        <v>33</v>
      </c>
      <c r="R6" s="1">
        <v>8099</v>
      </c>
      <c r="S6" s="1">
        <v>8500000</v>
      </c>
      <c r="T6" s="1" t="s">
        <v>34</v>
      </c>
    </row>
    <row r="7" spans="1:20" x14ac:dyDescent="0.3">
      <c r="A7" s="2" t="s">
        <v>76</v>
      </c>
      <c r="B7" s="8" t="s">
        <v>77</v>
      </c>
      <c r="C7" s="1" t="s">
        <v>78</v>
      </c>
      <c r="D7" s="1" t="s">
        <v>79</v>
      </c>
      <c r="E7" s="1">
        <v>220</v>
      </c>
      <c r="F7" s="3" t="s">
        <v>80</v>
      </c>
      <c r="G7" s="1" t="s">
        <v>81</v>
      </c>
      <c r="H7" s="1" t="s">
        <v>41</v>
      </c>
      <c r="I7" s="1" t="s">
        <v>27</v>
      </c>
      <c r="J7" s="1" t="s">
        <v>28</v>
      </c>
      <c r="K7" s="1" t="s">
        <v>82</v>
      </c>
      <c r="L7" s="1">
        <f>91-9876543215</f>
        <v>-9876543124</v>
      </c>
      <c r="M7" s="1" t="s">
        <v>83</v>
      </c>
      <c r="N7" s="1">
        <f>91-9123456785</f>
        <v>-9123456694</v>
      </c>
      <c r="O7" s="8" t="s">
        <v>84</v>
      </c>
      <c r="P7" s="1" t="s">
        <v>32</v>
      </c>
      <c r="Q7" s="1" t="s">
        <v>85</v>
      </c>
      <c r="R7" s="1">
        <v>4213</v>
      </c>
      <c r="S7" s="1">
        <v>6700000</v>
      </c>
      <c r="T7" s="1" t="s">
        <v>27</v>
      </c>
    </row>
    <row r="8" spans="1:20" x14ac:dyDescent="0.3">
      <c r="A8" s="2" t="s">
        <v>86</v>
      </c>
      <c r="B8" s="8" t="s">
        <v>87</v>
      </c>
      <c r="C8" s="1" t="s">
        <v>88</v>
      </c>
      <c r="D8" s="1" t="s">
        <v>89</v>
      </c>
      <c r="E8" s="1">
        <v>150</v>
      </c>
      <c r="F8" s="3" t="s">
        <v>90</v>
      </c>
      <c r="G8" s="1" t="s">
        <v>91</v>
      </c>
      <c r="H8" s="1" t="s">
        <v>26</v>
      </c>
      <c r="I8" s="1" t="s">
        <v>34</v>
      </c>
      <c r="J8" s="1" t="s">
        <v>28</v>
      </c>
      <c r="K8" s="1" t="s">
        <v>92</v>
      </c>
      <c r="L8" s="1">
        <f>91-9876543216</f>
        <v>-9876543125</v>
      </c>
      <c r="M8" s="1" t="s">
        <v>93</v>
      </c>
      <c r="N8" s="1">
        <f>91-9123456786</f>
        <v>-9123456695</v>
      </c>
      <c r="O8" s="8" t="s">
        <v>94</v>
      </c>
      <c r="P8" s="1" t="s">
        <v>95</v>
      </c>
      <c r="Q8" s="1" t="s">
        <v>33</v>
      </c>
      <c r="R8" s="1">
        <v>8299</v>
      </c>
      <c r="S8" s="1">
        <v>2400000</v>
      </c>
      <c r="T8" s="1" t="s">
        <v>34</v>
      </c>
    </row>
    <row r="9" spans="1:20" x14ac:dyDescent="0.3">
      <c r="A9" s="2" t="s">
        <v>96</v>
      </c>
      <c r="B9" s="8" t="s">
        <v>97</v>
      </c>
      <c r="C9" s="1" t="s">
        <v>98</v>
      </c>
      <c r="D9" s="1" t="s">
        <v>99</v>
      </c>
      <c r="E9" s="1">
        <v>300</v>
      </c>
      <c r="F9" s="3" t="s">
        <v>100</v>
      </c>
      <c r="G9" s="1" t="s">
        <v>101</v>
      </c>
      <c r="H9" s="1" t="s">
        <v>102</v>
      </c>
      <c r="I9" s="1" t="s">
        <v>27</v>
      </c>
      <c r="J9" s="1" t="s">
        <v>28</v>
      </c>
      <c r="K9" s="1" t="s">
        <v>103</v>
      </c>
      <c r="L9" s="1">
        <f>91-9876543217</f>
        <v>-9876543126</v>
      </c>
      <c r="M9" s="1" t="s">
        <v>104</v>
      </c>
      <c r="N9" s="1">
        <f>91-9123456787</f>
        <v>-9123456696</v>
      </c>
      <c r="O9" s="8" t="s">
        <v>105</v>
      </c>
      <c r="P9" s="1" t="s">
        <v>32</v>
      </c>
      <c r="Q9" s="1" t="s">
        <v>55</v>
      </c>
      <c r="R9" s="1">
        <v>6282</v>
      </c>
      <c r="S9" s="1">
        <v>9800000</v>
      </c>
      <c r="T9" s="1" t="s">
        <v>34</v>
      </c>
    </row>
    <row r="10" spans="1:20" x14ac:dyDescent="0.3">
      <c r="A10" s="2" t="s">
        <v>106</v>
      </c>
      <c r="B10" s="8" t="s">
        <v>107</v>
      </c>
      <c r="C10" s="1" t="s">
        <v>108</v>
      </c>
      <c r="D10" s="1" t="s">
        <v>109</v>
      </c>
      <c r="E10" s="1">
        <v>500</v>
      </c>
      <c r="F10" s="3" t="s">
        <v>110</v>
      </c>
      <c r="G10" s="1" t="s">
        <v>111</v>
      </c>
      <c r="H10" s="1" t="s">
        <v>26</v>
      </c>
      <c r="I10" s="1" t="s">
        <v>27</v>
      </c>
      <c r="J10" s="1" t="s">
        <v>28</v>
      </c>
      <c r="K10" s="1" t="s">
        <v>112</v>
      </c>
      <c r="L10" s="1">
        <f>91-9876543218</f>
        <v>-9876543127</v>
      </c>
      <c r="M10" s="1" t="s">
        <v>113</v>
      </c>
      <c r="N10" s="1">
        <f>91-9123456788</f>
        <v>-9123456697</v>
      </c>
      <c r="O10" s="8" t="s">
        <v>114</v>
      </c>
      <c r="P10" s="1" t="s">
        <v>54</v>
      </c>
      <c r="Q10" s="1" t="s">
        <v>66</v>
      </c>
      <c r="R10" s="1">
        <v>5311</v>
      </c>
      <c r="S10" s="1">
        <v>18000000</v>
      </c>
      <c r="T10" s="1" t="s">
        <v>27</v>
      </c>
    </row>
    <row r="11" spans="1:20" x14ac:dyDescent="0.3">
      <c r="A11" s="2" t="s">
        <v>115</v>
      </c>
      <c r="B11" s="8" t="s">
        <v>116</v>
      </c>
      <c r="C11" s="1" t="s">
        <v>117</v>
      </c>
      <c r="D11" s="1" t="s">
        <v>118</v>
      </c>
      <c r="E11" s="1">
        <v>275</v>
      </c>
      <c r="F11" s="3" t="s">
        <v>119</v>
      </c>
      <c r="G11" s="1" t="s">
        <v>120</v>
      </c>
      <c r="H11" s="1" t="s">
        <v>62</v>
      </c>
      <c r="I11" s="1" t="s">
        <v>27</v>
      </c>
      <c r="J11" s="1" t="s">
        <v>28</v>
      </c>
      <c r="K11" s="1" t="s">
        <v>121</v>
      </c>
      <c r="L11" s="1">
        <f>91-9876543219</f>
        <v>-9876543128</v>
      </c>
      <c r="M11" s="1" t="s">
        <v>122</v>
      </c>
      <c r="N11" s="1">
        <f>91-9123456789</f>
        <v>-9123456698</v>
      </c>
      <c r="O11" s="8" t="s">
        <v>123</v>
      </c>
      <c r="P11" s="1" t="s">
        <v>32</v>
      </c>
      <c r="Q11" s="1" t="s">
        <v>33</v>
      </c>
      <c r="R11" s="1">
        <v>4911</v>
      </c>
      <c r="S11" s="1">
        <v>11000000</v>
      </c>
      <c r="T11" s="1" t="s">
        <v>34</v>
      </c>
    </row>
  </sheetData>
  <hyperlinks>
    <hyperlink ref="B2" r:id="rId1" display="http://www.technova.com/" xr:uid="{316D9498-50D6-4C07-BC8A-D141B16F5571}"/>
    <hyperlink ref="F2" r:id="rId2" display="mailto:info@technova.com" xr:uid="{BC4ED1D4-2D17-44D5-B559-FA5F2BC973EC}"/>
    <hyperlink ref="O2" r:id="rId3" display="mailto:contact@technova.com" xr:uid="{5399BCB7-A93F-4C48-9A38-0674C2D3A59F}"/>
    <hyperlink ref="B3" r:id="rId4" xr:uid="{48173ED2-195E-4E98-A3DF-B9E94FC16CE4}"/>
    <hyperlink ref="F3" r:id="rId5" display="mailto:support@greenleafagro.com" xr:uid="{C2BCC747-D8AE-452A-B170-F869C4A4F178}"/>
    <hyperlink ref="O3" r:id="rId6" display="mailto:sales@greenleafagro.com" xr:uid="{ED9B6294-668A-42D7-8435-92CDF5E97824}"/>
    <hyperlink ref="B4" r:id="rId7" display="http://www.skynettech.com/" xr:uid="{64D067F8-AB5E-470D-9C26-9A77D7DDB61A}"/>
    <hyperlink ref="F4" r:id="rId8" display="mailto:hr@skynettech.com" xr:uid="{9ADC7A1A-D149-4DF2-A5AD-D08300743B80}"/>
    <hyperlink ref="O4" r:id="rId9" display="mailto:info@skynettech.com" xr:uid="{0D426D11-6376-4F13-AF5C-F3FF7CCDC004}"/>
    <hyperlink ref="B5" r:id="rId10" display="http://www.alphamfg.com/" xr:uid="{45DF6871-41AC-45F8-B44F-BF4DDA14A5F3}"/>
    <hyperlink ref="F5" r:id="rId11" display="mailto:admin@alphamfg.com" xr:uid="{CCF77F60-C835-4609-BADC-1ED0884C9FF4}"/>
    <hyperlink ref="O5" r:id="rId12" display="mailto:sales@alphamfg.com" xr:uid="{E3F091B2-4B43-4CCF-9302-10EFF587C2B8}"/>
    <hyperlink ref="B6" r:id="rId13" display="http://www.brighthealth.com/" xr:uid="{BE3EEEFB-82FB-4800-B0E9-31E3DC63F1BA}"/>
    <hyperlink ref="F6" r:id="rId14" display="mailto:contact@brighthealth.com" xr:uid="{AE7D53DA-F836-40C7-874B-ADBDA05718C5}"/>
    <hyperlink ref="O6" r:id="rId15" display="mailto:support@brighthealth.com" xr:uid="{BE5327BB-BA97-420E-B044-26254F6F81EB}"/>
    <hyperlink ref="B7" r:id="rId16" display="http://www.oceanlogistics.com/" xr:uid="{8F33B798-1D77-4963-B33A-77FF495E56CD}"/>
    <hyperlink ref="F7" r:id="rId17" display="mailto:logistics@oceanlogistics.com" xr:uid="{1D649B8E-68FE-4D1B-8A6F-A6310B75A63F}"/>
    <hyperlink ref="O7" r:id="rId18" display="mailto:info@oceanlogistics.com" xr:uid="{535C78B4-3CB7-4E27-B445-53450C4852D4}"/>
    <hyperlink ref="B8" r:id="rId19" display="http://www.edusmart.edu/" xr:uid="{4DEEDB4D-FE3C-47A1-845B-B19822A18F10}"/>
    <hyperlink ref="F8" r:id="rId20" display="mailto:admissions@edusmart.edu" xr:uid="{DA1B9915-57EE-4F3E-A3A8-09FC14538C57}"/>
    <hyperlink ref="O8" r:id="rId21" display="mailto:office@edusmart.edu" xr:uid="{60CC6763-719F-4475-824D-C712B847483E}"/>
    <hyperlink ref="B9" r:id="rId22" display="http://www.finedge.com/" xr:uid="{AD979143-5361-4925-A243-4860FD097D16}"/>
    <hyperlink ref="F9" r:id="rId23" display="mailto:finance@finedge.com" xr:uid="{CF29214A-370F-420D-B354-619E830C2B5F}"/>
    <hyperlink ref="O9" r:id="rId24" display="mailto:contact@finedge.com" xr:uid="{5A5F53E5-0934-4919-814B-657E587C27BF}"/>
    <hyperlink ref="B10" r:id="rId25" display="http://www.zenithretail.com/" xr:uid="{E5FF612A-BDB4-413D-BF51-796C7C273DA6}"/>
    <hyperlink ref="F10" r:id="rId26" display="mailto:retail@zenithretail.com" xr:uid="{358D488D-C54B-43C8-914C-3E40E6B7D398}"/>
    <hyperlink ref="O10" r:id="rId27" display="mailto:support@zenithretail.com" xr:uid="{BC61D618-5850-4393-8518-7D4566E93503}"/>
    <hyperlink ref="B11" r:id="rId28" display="http://www.nexaenergy.com/" xr:uid="{B2928D72-B888-4F8C-BC65-7A382227E536}"/>
    <hyperlink ref="F11" r:id="rId29" display="mailto:admin@nexaenergy.com" xr:uid="{BEE8DFA9-FE10-4D28-ABC3-D86743E68657}"/>
    <hyperlink ref="O11" r:id="rId30" display="mailto:info@nexaenergy.com" xr:uid="{F7684844-8C2E-424A-8C18-9C83AED53ECC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Nikil Kumar</dc:creator>
  <cp:lastModifiedBy>Nikil Kumar</cp:lastModifiedBy>
  <dcterms:created xsi:type="dcterms:W3CDTF">2026-07-06T08:06:33Z</dcterms:created>
  <dcterms:modified xsi:type="dcterms:W3CDTF">2026-07-08T14:54:07Z</dcterms:modified>
</cp:coreProperties>
</file>